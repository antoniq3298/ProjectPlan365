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\Desktop\Системи за контрол на версийте\"/>
    </mc:Choice>
  </mc:AlternateContent>
  <bookViews>
    <workbookView xWindow="0" yWindow="0" windowWidth="17256" windowHeight="5688"/>
  </bookViews>
  <sheets>
    <sheet name="Лист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3" i="1"/>
</calcChain>
</file>

<file path=xl/sharedStrings.xml><?xml version="1.0" encoding="utf-8"?>
<sst xmlns="http://schemas.openxmlformats.org/spreadsheetml/2006/main" count="159" uniqueCount="112">
  <si>
    <t>Task Name</t>
  </si>
  <si>
    <t>Duration</t>
  </si>
  <si>
    <t>Start</t>
  </si>
  <si>
    <t>Finish</t>
  </si>
  <si>
    <t>Project setup</t>
  </si>
  <si>
    <t>9 days</t>
  </si>
  <si>
    <t xml:space="preserve">вт 18.11.25 8:00 </t>
  </si>
  <si>
    <t xml:space="preserve">пет 28.11.25 5:00 </t>
  </si>
  <si>
    <t>Create project structure</t>
  </si>
  <si>
    <t>2 days</t>
  </si>
  <si>
    <t xml:space="preserve">ср 19.11.25 5:00 </t>
  </si>
  <si>
    <t>Create GitHub repository</t>
  </si>
  <si>
    <t>1 day</t>
  </si>
  <si>
    <t xml:space="preserve">четв 20.11.25 8:00 </t>
  </si>
  <si>
    <t xml:space="preserve">четв 20.11.25 5:00 </t>
  </si>
  <si>
    <t>Set up .NET Framework project</t>
  </si>
  <si>
    <t xml:space="preserve">пет 21.11.25 8:00 </t>
  </si>
  <si>
    <t xml:space="preserve">пон 24.11.25 5:00 </t>
  </si>
  <si>
    <t>Install needed libraries</t>
  </si>
  <si>
    <t xml:space="preserve">ср 26.11.25 8:00 </t>
  </si>
  <si>
    <t xml:space="preserve">ср 26.11.25 5:00 </t>
  </si>
  <si>
    <t>Prepare initial commit</t>
  </si>
  <si>
    <t xml:space="preserve">четв 27.11.25 8:00 </t>
  </si>
  <si>
    <t>UI design</t>
  </si>
  <si>
    <t>4 days</t>
  </si>
  <si>
    <t xml:space="preserve">четв 4.12.25 5:00 </t>
  </si>
  <si>
    <t>Design window layout</t>
  </si>
  <si>
    <t>0 days</t>
  </si>
  <si>
    <t>Create movie layout Add screan</t>
  </si>
  <si>
    <t xml:space="preserve">ср 3.12.25 8:00 </t>
  </si>
  <si>
    <t xml:space="preserve">ср 3.12.25 5:00 </t>
  </si>
  <si>
    <t xml:space="preserve">Create movie layout Edit </t>
  </si>
  <si>
    <t>Create movie layout delete</t>
  </si>
  <si>
    <t xml:space="preserve">четв 4.12.25 8:00 </t>
  </si>
  <si>
    <t>Date base structure</t>
  </si>
  <si>
    <t>5 days</t>
  </si>
  <si>
    <t xml:space="preserve">пет 5.12.25 8:00 </t>
  </si>
  <si>
    <t xml:space="preserve">четв 11.12.25 5:00 </t>
  </si>
  <si>
    <t>Create SQlLite database</t>
  </si>
  <si>
    <t xml:space="preserve">пет 5.12.25 5:00 </t>
  </si>
  <si>
    <t>Create table Movies</t>
  </si>
  <si>
    <t xml:space="preserve">пон 8.12.25 8:00 </t>
  </si>
  <si>
    <t xml:space="preserve">пон 8.12.25 5:00 </t>
  </si>
  <si>
    <t>Create table Favorites</t>
  </si>
  <si>
    <t xml:space="preserve">вт 9.12.25 8:00 </t>
  </si>
  <si>
    <t xml:space="preserve">вт 9.12.25 5:00 </t>
  </si>
  <si>
    <t>Define relationships</t>
  </si>
  <si>
    <t xml:space="preserve">ср 10.12.25 8:00 </t>
  </si>
  <si>
    <t xml:space="preserve">ср 10.12.25 5:00 </t>
  </si>
  <si>
    <t>Test DB connection from the app</t>
  </si>
  <si>
    <t xml:space="preserve">четв 11.12.25 8:00 </t>
  </si>
  <si>
    <t>CRUD Operations</t>
  </si>
  <si>
    <t xml:space="preserve">пет 12.12.25 8:00 </t>
  </si>
  <si>
    <t xml:space="preserve">ср 17.12.25 5:00 </t>
  </si>
  <si>
    <t>Implement CREATE operation (Add Movie)</t>
  </si>
  <si>
    <t xml:space="preserve">пет 12.12.25 5:00 </t>
  </si>
  <si>
    <t>Implement READ operation (Load movies list)</t>
  </si>
  <si>
    <t xml:space="preserve">пон 15.12.25 8:00 </t>
  </si>
  <si>
    <t xml:space="preserve">пон 15.12.25 5:00 </t>
  </si>
  <si>
    <t>Implement UPDATE operation (Edit Movie)</t>
  </si>
  <si>
    <t xml:space="preserve">вт 16.12.25 8:00 </t>
  </si>
  <si>
    <t xml:space="preserve">вт 16.12.25 5:00 </t>
  </si>
  <si>
    <t>Implement DELETE operation (Remove Movie)</t>
  </si>
  <si>
    <t xml:space="preserve">ср 17.12.25 8:00 </t>
  </si>
  <si>
    <t>Add validations (title required, year format, etc.)</t>
  </si>
  <si>
    <t xml:space="preserve">четв 18.12.25 8:00 </t>
  </si>
  <si>
    <t xml:space="preserve">ср 24.12.25 5:00 </t>
  </si>
  <si>
    <t>Favorites Functionality</t>
  </si>
  <si>
    <t xml:space="preserve">четв 18.12.25 5:00 </t>
  </si>
  <si>
    <t>Add “Add to Favorites” feature</t>
  </si>
  <si>
    <t xml:space="preserve">пет 19.12.25 8:00 </t>
  </si>
  <si>
    <t xml:space="preserve">пет 19.12.25 5:00 </t>
  </si>
  <si>
    <t>Add “Remove from Favorites” feature</t>
  </si>
  <si>
    <t xml:space="preserve">пон 22.12.25 8:00 </t>
  </si>
  <si>
    <t xml:space="preserve">пон 22.12.25 5:00 </t>
  </si>
  <si>
    <t>Display favorites list</t>
  </si>
  <si>
    <t xml:space="preserve">вт 23.12.25 8:00 </t>
  </si>
  <si>
    <t xml:space="preserve">вт 23.12.25 5:00 </t>
  </si>
  <si>
    <t>Sync with main movie list</t>
  </si>
  <si>
    <t xml:space="preserve">ср 24.12.25 8:00 </t>
  </si>
  <si>
    <t>Test UI functionality</t>
  </si>
  <si>
    <t>6 days</t>
  </si>
  <si>
    <t xml:space="preserve">четв 25.12.25 8:00 </t>
  </si>
  <si>
    <t xml:space="preserve">четв 1.1.26 5:00 </t>
  </si>
  <si>
    <t>Test database operations</t>
  </si>
  <si>
    <t xml:space="preserve">четв 25.12.25 5:00 </t>
  </si>
  <si>
    <t>Test CRUD scenarios</t>
  </si>
  <si>
    <t xml:space="preserve">пет 26.12.25 8:00 </t>
  </si>
  <si>
    <t xml:space="preserve">пет 26.12.25 5:00 </t>
  </si>
  <si>
    <t>Test favorites feature</t>
  </si>
  <si>
    <t xml:space="preserve">пон 29.12.25 8:00 </t>
  </si>
  <si>
    <t xml:space="preserve">вт 30.12.25 5:00 </t>
  </si>
  <si>
    <t>Fix detected bugs</t>
  </si>
  <si>
    <t xml:space="preserve">ср 31.12.25 8:00 </t>
  </si>
  <si>
    <t xml:space="preserve">ср 31.12.25 5:00 </t>
  </si>
  <si>
    <t>Write User Manual</t>
  </si>
  <si>
    <t xml:space="preserve">четв 1.1.26 8:00 </t>
  </si>
  <si>
    <t>Write Technical documentation</t>
  </si>
  <si>
    <t>7 days</t>
  </si>
  <si>
    <t xml:space="preserve">пет 2.1.26 8:00 </t>
  </si>
  <si>
    <t xml:space="preserve">пон 12.1.26 5:00 </t>
  </si>
  <si>
    <t>Add installation instructions</t>
  </si>
  <si>
    <t xml:space="preserve">пет 2.1.26 5:00 </t>
  </si>
  <si>
    <t>Add screenshots</t>
  </si>
  <si>
    <t xml:space="preserve">пон 5.1.26 8:00 </t>
  </si>
  <si>
    <t xml:space="preserve">пон 5.1.26 5:00 </t>
  </si>
  <si>
    <t>Update GitHub README.md</t>
  </si>
  <si>
    <t>Optimistic time</t>
  </si>
  <si>
    <t>normal time</t>
  </si>
  <si>
    <t xml:space="preserve">Pesimistic time </t>
  </si>
  <si>
    <t>Estimated time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</si>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</sst>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8"/>
      <color rgb="FF363636"/>
      <name val="Arial"/>
      <family val="2"/>
      <charset val="204"/>
    </font>
    <font>
      <sz val="8"/>
      <color rgb="FF000000"/>
      <name val="Arial"/>
      <family val="2"/>
      <charset val="204"/>
    </font>
    <font>
      <sz val="9"/>
      <color theme="1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/>
      <right/>
      <top/>
      <bottom style="thin">
        <color rgb="FFB1BBCC"/>
      </bottom>
      <diagonal/>
    </border>
    <border>
      <left/>
      <right style="thin">
        <color rgb="FFB1BBCC"/>
      </right>
      <top/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2" xfId="0" applyFont="1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0"/>
  <sheetViews>
    <sheetView tabSelected="1" workbookViewId="0">
      <selection activeCell="J2" sqref="J2"/>
    </sheetView>
  </sheetViews>
  <sheetFormatPr defaultRowHeight="14.4" x14ac:dyDescent="0.3"/>
  <cols>
    <col min="6" max="6" width="15.44140625" customWidth="1"/>
    <col min="7" max="7" width="17.5546875" customWidth="1"/>
    <col min="8" max="8" width="26.6640625" customWidth="1"/>
  </cols>
  <sheetData>
    <row r="2" spans="1:9" ht="20.399999999999999" x14ac:dyDescent="0.3">
      <c r="A2" s="1" t="s">
        <v>0</v>
      </c>
      <c r="B2" s="1" t="s">
        <v>1</v>
      </c>
      <c r="C2" s="1" t="s">
        <v>2</v>
      </c>
      <c r="D2" s="1" t="s">
        <v>3</v>
      </c>
      <c r="E2" s="5" t="s">
        <v>107</v>
      </c>
      <c r="F2" s="5" t="s">
        <v>108</v>
      </c>
      <c r="G2" s="9" t="s">
        <v>109</v>
      </c>
      <c r="H2" t="s">
        <v>110</v>
      </c>
      <c r="I2" t="s">
        <v>111</v>
      </c>
    </row>
    <row r="3" spans="1:9" ht="24" x14ac:dyDescent="0.3">
      <c r="A3" s="10" t="s">
        <v>4</v>
      </c>
      <c r="B3" s="2" t="s">
        <v>5</v>
      </c>
      <c r="C3" s="2" t="s">
        <v>6</v>
      </c>
      <c r="D3" s="2" t="s">
        <v>7</v>
      </c>
      <c r="E3" s="2">
        <v>9</v>
      </c>
      <c r="F3" s="2">
        <v>9</v>
      </c>
      <c r="G3" s="6">
        <v>12</v>
      </c>
      <c r="H3">
        <f>(E3+4*F3+G3)/6</f>
        <v>9.5</v>
      </c>
      <c r="I3">
        <f>(G3-E3)/6</f>
        <v>0.5</v>
      </c>
    </row>
    <row r="4" spans="1:9" ht="30.6" x14ac:dyDescent="0.3">
      <c r="A4" s="2" t="s">
        <v>8</v>
      </c>
      <c r="B4" s="2" t="s">
        <v>9</v>
      </c>
      <c r="C4" s="2" t="s">
        <v>6</v>
      </c>
      <c r="D4" s="2" t="s">
        <v>10</v>
      </c>
      <c r="E4" s="2">
        <v>2</v>
      </c>
      <c r="F4" s="2">
        <v>2</v>
      </c>
      <c r="G4" s="6">
        <v>3</v>
      </c>
      <c r="H4">
        <f t="shared" ref="H4:H40" si="0">(E4+4*F4+G4)/6</f>
        <v>2.1666666666666665</v>
      </c>
      <c r="I4">
        <f t="shared" ref="I4:I40" si="1">(G4-E4)/6</f>
        <v>0.16666666666666666</v>
      </c>
    </row>
    <row r="5" spans="1:9" ht="30.6" x14ac:dyDescent="0.3">
      <c r="A5" s="2" t="s">
        <v>11</v>
      </c>
      <c r="B5" s="2" t="s">
        <v>12</v>
      </c>
      <c r="C5" s="2" t="s">
        <v>13</v>
      </c>
      <c r="D5" s="2" t="s">
        <v>14</v>
      </c>
      <c r="E5" s="2">
        <v>1</v>
      </c>
      <c r="F5" s="2">
        <v>1</v>
      </c>
      <c r="G5" s="6">
        <v>2</v>
      </c>
      <c r="H5">
        <f t="shared" si="0"/>
        <v>1.1666666666666667</v>
      </c>
      <c r="I5">
        <f t="shared" si="1"/>
        <v>0.16666666666666666</v>
      </c>
    </row>
    <row r="6" spans="1:9" ht="30.6" x14ac:dyDescent="0.3">
      <c r="A6" s="2" t="s">
        <v>15</v>
      </c>
      <c r="B6" s="2" t="s">
        <v>9</v>
      </c>
      <c r="C6" s="2" t="s">
        <v>16</v>
      </c>
      <c r="D6" s="2" t="s">
        <v>17</v>
      </c>
      <c r="E6" s="2">
        <v>2</v>
      </c>
      <c r="F6" s="2">
        <v>2</v>
      </c>
      <c r="G6" s="7">
        <v>3</v>
      </c>
      <c r="H6">
        <f t="shared" si="0"/>
        <v>2.1666666666666665</v>
      </c>
      <c r="I6">
        <f t="shared" si="1"/>
        <v>0.16666666666666666</v>
      </c>
    </row>
    <row r="7" spans="1:9" ht="30.6" x14ac:dyDescent="0.3">
      <c r="A7" s="2" t="s">
        <v>18</v>
      </c>
      <c r="B7" s="2" t="s">
        <v>12</v>
      </c>
      <c r="C7" s="2" t="s">
        <v>19</v>
      </c>
      <c r="D7" s="2" t="s">
        <v>20</v>
      </c>
      <c r="E7" s="2">
        <v>1</v>
      </c>
      <c r="F7" s="2">
        <v>1</v>
      </c>
      <c r="G7">
        <v>2</v>
      </c>
      <c r="H7">
        <f t="shared" si="0"/>
        <v>1.1666666666666667</v>
      </c>
      <c r="I7">
        <f t="shared" si="1"/>
        <v>0.16666666666666666</v>
      </c>
    </row>
    <row r="8" spans="1:9" ht="30.6" x14ac:dyDescent="0.3">
      <c r="A8" s="2" t="s">
        <v>21</v>
      </c>
      <c r="B8" s="2" t="s">
        <v>9</v>
      </c>
      <c r="C8" s="2" t="s">
        <v>22</v>
      </c>
      <c r="D8" s="2" t="s">
        <v>7</v>
      </c>
      <c r="E8" s="2">
        <v>2</v>
      </c>
      <c r="F8" s="2">
        <v>2</v>
      </c>
      <c r="G8" s="7">
        <v>3</v>
      </c>
      <c r="H8">
        <f t="shared" si="0"/>
        <v>2.1666666666666665</v>
      </c>
      <c r="I8">
        <f t="shared" si="1"/>
        <v>0.16666666666666666</v>
      </c>
    </row>
    <row r="9" spans="1:9" ht="26.4" x14ac:dyDescent="0.3">
      <c r="A9" s="11" t="s">
        <v>23</v>
      </c>
      <c r="B9" s="2" t="s">
        <v>24</v>
      </c>
      <c r="C9" s="2" t="s">
        <v>7</v>
      </c>
      <c r="D9" s="2" t="s">
        <v>25</v>
      </c>
      <c r="E9" s="2">
        <v>4</v>
      </c>
      <c r="F9" s="2">
        <v>4</v>
      </c>
      <c r="G9" s="7">
        <v>5</v>
      </c>
      <c r="H9">
        <f t="shared" si="0"/>
        <v>4.166666666666667</v>
      </c>
      <c r="I9">
        <f t="shared" si="1"/>
        <v>0.16666666666666666</v>
      </c>
    </row>
    <row r="10" spans="1:9" ht="30.6" x14ac:dyDescent="0.3">
      <c r="A10" s="2" t="s">
        <v>26</v>
      </c>
      <c r="B10" s="2" t="s">
        <v>27</v>
      </c>
      <c r="C10" s="2" t="s">
        <v>7</v>
      </c>
      <c r="D10" s="2" t="s">
        <v>7</v>
      </c>
      <c r="E10" s="2">
        <v>0</v>
      </c>
      <c r="F10" s="2">
        <v>0</v>
      </c>
      <c r="G10" s="7">
        <v>1</v>
      </c>
      <c r="H10">
        <f t="shared" si="0"/>
        <v>0.16666666666666666</v>
      </c>
      <c r="I10">
        <f t="shared" si="1"/>
        <v>0.16666666666666666</v>
      </c>
    </row>
    <row r="11" spans="1:9" ht="30.6" x14ac:dyDescent="0.3">
      <c r="A11" s="2" t="s">
        <v>28</v>
      </c>
      <c r="B11" s="2" t="s">
        <v>12</v>
      </c>
      <c r="C11" s="2" t="s">
        <v>29</v>
      </c>
      <c r="D11" s="2" t="s">
        <v>30</v>
      </c>
      <c r="E11" s="2">
        <v>1</v>
      </c>
      <c r="F11" s="2">
        <v>1</v>
      </c>
      <c r="G11" s="7">
        <v>2</v>
      </c>
      <c r="H11">
        <f t="shared" si="0"/>
        <v>1.1666666666666667</v>
      </c>
      <c r="I11">
        <f t="shared" si="1"/>
        <v>0.16666666666666666</v>
      </c>
    </row>
    <row r="12" spans="1:9" ht="30.6" x14ac:dyDescent="0.3">
      <c r="A12" s="2" t="s">
        <v>31</v>
      </c>
      <c r="B12" s="2" t="s">
        <v>12</v>
      </c>
      <c r="C12" s="2" t="s">
        <v>29</v>
      </c>
      <c r="D12" s="2" t="s">
        <v>30</v>
      </c>
      <c r="E12" s="2">
        <v>1</v>
      </c>
      <c r="F12" s="2">
        <v>1</v>
      </c>
      <c r="G12" s="7">
        <v>2</v>
      </c>
      <c r="H12">
        <f t="shared" si="0"/>
        <v>1.1666666666666667</v>
      </c>
      <c r="I12">
        <f t="shared" si="1"/>
        <v>0.16666666666666666</v>
      </c>
    </row>
    <row r="13" spans="1:9" ht="30.6" x14ac:dyDescent="0.3">
      <c r="A13" s="2" t="s">
        <v>32</v>
      </c>
      <c r="B13" s="2" t="s">
        <v>12</v>
      </c>
      <c r="C13" s="2" t="s">
        <v>33</v>
      </c>
      <c r="D13" s="2" t="s">
        <v>25</v>
      </c>
      <c r="E13" s="2">
        <v>1</v>
      </c>
      <c r="F13" s="2">
        <v>1</v>
      </c>
      <c r="G13" s="7">
        <v>2</v>
      </c>
      <c r="H13">
        <f t="shared" si="0"/>
        <v>1.1666666666666667</v>
      </c>
      <c r="I13">
        <f t="shared" si="1"/>
        <v>0.16666666666666666</v>
      </c>
    </row>
    <row r="14" spans="1:9" ht="52.8" x14ac:dyDescent="0.3">
      <c r="A14" s="11" t="s">
        <v>34</v>
      </c>
      <c r="B14" s="2" t="s">
        <v>35</v>
      </c>
      <c r="C14" s="2" t="s">
        <v>36</v>
      </c>
      <c r="D14" s="2" t="s">
        <v>37</v>
      </c>
      <c r="E14" s="2">
        <v>5</v>
      </c>
      <c r="F14" s="2">
        <v>5</v>
      </c>
      <c r="G14" s="8">
        <v>2</v>
      </c>
      <c r="H14">
        <f t="shared" si="0"/>
        <v>4.5</v>
      </c>
      <c r="I14">
        <f t="shared" si="1"/>
        <v>-0.5</v>
      </c>
    </row>
    <row r="15" spans="1:9" ht="30.6" x14ac:dyDescent="0.3">
      <c r="A15" s="2" t="s">
        <v>38</v>
      </c>
      <c r="B15" s="2" t="s">
        <v>12</v>
      </c>
      <c r="C15" s="2" t="s">
        <v>36</v>
      </c>
      <c r="D15" s="2" t="s">
        <v>39</v>
      </c>
      <c r="E15" s="2">
        <v>1</v>
      </c>
      <c r="F15" s="2">
        <v>1</v>
      </c>
      <c r="G15" s="8">
        <v>2</v>
      </c>
      <c r="H15">
        <f t="shared" si="0"/>
        <v>1.1666666666666667</v>
      </c>
      <c r="I15">
        <f t="shared" si="1"/>
        <v>0.16666666666666666</v>
      </c>
    </row>
    <row r="16" spans="1:9" ht="20.399999999999999" x14ac:dyDescent="0.3">
      <c r="A16" s="2" t="s">
        <v>40</v>
      </c>
      <c r="B16" s="2" t="s">
        <v>12</v>
      </c>
      <c r="C16" s="2" t="s">
        <v>41</v>
      </c>
      <c r="D16" s="2" t="s">
        <v>42</v>
      </c>
      <c r="E16" s="2">
        <v>1</v>
      </c>
      <c r="F16" s="2">
        <v>1</v>
      </c>
      <c r="G16" s="8">
        <v>3</v>
      </c>
      <c r="H16">
        <f t="shared" si="0"/>
        <v>1.3333333333333333</v>
      </c>
      <c r="I16">
        <f t="shared" si="1"/>
        <v>0.33333333333333331</v>
      </c>
    </row>
    <row r="17" spans="1:9" ht="20.399999999999999" x14ac:dyDescent="0.3">
      <c r="A17" s="2" t="s">
        <v>43</v>
      </c>
      <c r="B17" s="2" t="s">
        <v>12</v>
      </c>
      <c r="C17" s="2" t="s">
        <v>44</v>
      </c>
      <c r="D17" s="2" t="s">
        <v>45</v>
      </c>
      <c r="E17" s="2">
        <v>1</v>
      </c>
      <c r="F17" s="2">
        <v>1</v>
      </c>
      <c r="G17" s="8">
        <v>3</v>
      </c>
      <c r="H17">
        <f t="shared" si="0"/>
        <v>1.3333333333333333</v>
      </c>
      <c r="I17">
        <f t="shared" si="1"/>
        <v>0.33333333333333331</v>
      </c>
    </row>
    <row r="18" spans="1:9" ht="20.399999999999999" x14ac:dyDescent="0.3">
      <c r="A18" s="2" t="s">
        <v>46</v>
      </c>
      <c r="B18" s="2" t="s">
        <v>12</v>
      </c>
      <c r="C18" s="2" t="s">
        <v>47</v>
      </c>
      <c r="D18" s="2" t="s">
        <v>48</v>
      </c>
      <c r="E18" s="2">
        <v>1</v>
      </c>
      <c r="F18" s="2">
        <v>1</v>
      </c>
      <c r="G18" s="8">
        <v>2</v>
      </c>
      <c r="H18">
        <f t="shared" si="0"/>
        <v>1.1666666666666667</v>
      </c>
      <c r="I18">
        <f t="shared" si="1"/>
        <v>0.16666666666666666</v>
      </c>
    </row>
    <row r="19" spans="1:9" ht="30.6" x14ac:dyDescent="0.3">
      <c r="A19" s="2" t="s">
        <v>49</v>
      </c>
      <c r="B19" s="2" t="s">
        <v>12</v>
      </c>
      <c r="C19" s="2" t="s">
        <v>50</v>
      </c>
      <c r="D19" s="2" t="s">
        <v>37</v>
      </c>
      <c r="E19" s="2">
        <v>1</v>
      </c>
      <c r="F19" s="2">
        <v>1</v>
      </c>
      <c r="G19" s="8">
        <v>2</v>
      </c>
      <c r="H19">
        <f t="shared" si="0"/>
        <v>1.1666666666666667</v>
      </c>
      <c r="I19">
        <f t="shared" si="1"/>
        <v>0.16666666666666666</v>
      </c>
    </row>
    <row r="20" spans="1:9" ht="39.6" x14ac:dyDescent="0.3">
      <c r="A20" s="11" t="s">
        <v>51</v>
      </c>
      <c r="B20" s="2" t="s">
        <v>24</v>
      </c>
      <c r="C20" s="2" t="s">
        <v>52</v>
      </c>
      <c r="D20" s="2" t="s">
        <v>53</v>
      </c>
      <c r="E20" s="2">
        <v>4</v>
      </c>
      <c r="F20" s="2">
        <v>4</v>
      </c>
      <c r="G20" s="8">
        <v>5</v>
      </c>
      <c r="H20">
        <f t="shared" si="0"/>
        <v>4.166666666666667</v>
      </c>
      <c r="I20">
        <f t="shared" si="1"/>
        <v>0.16666666666666666</v>
      </c>
    </row>
    <row r="21" spans="1:9" ht="40.799999999999997" x14ac:dyDescent="0.3">
      <c r="A21" s="2" t="s">
        <v>54</v>
      </c>
      <c r="B21" s="2" t="s">
        <v>12</v>
      </c>
      <c r="C21" s="2" t="s">
        <v>52</v>
      </c>
      <c r="D21" s="2" t="s">
        <v>55</v>
      </c>
      <c r="E21" s="2">
        <v>1</v>
      </c>
      <c r="F21" s="2">
        <v>1</v>
      </c>
      <c r="G21" s="8">
        <v>2</v>
      </c>
      <c r="H21">
        <f t="shared" si="0"/>
        <v>1.1666666666666667</v>
      </c>
      <c r="I21">
        <f t="shared" si="1"/>
        <v>0.16666666666666666</v>
      </c>
    </row>
    <row r="22" spans="1:9" ht="51" x14ac:dyDescent="0.3">
      <c r="A22" s="2" t="s">
        <v>56</v>
      </c>
      <c r="B22" s="2" t="s">
        <v>12</v>
      </c>
      <c r="C22" s="2" t="s">
        <v>57</v>
      </c>
      <c r="D22" s="2" t="s">
        <v>58</v>
      </c>
      <c r="E22" s="2">
        <v>1</v>
      </c>
      <c r="F22" s="2">
        <v>1</v>
      </c>
      <c r="G22" s="8">
        <v>2</v>
      </c>
      <c r="H22">
        <f t="shared" si="0"/>
        <v>1.1666666666666667</v>
      </c>
      <c r="I22">
        <f t="shared" si="1"/>
        <v>0.16666666666666666</v>
      </c>
    </row>
    <row r="23" spans="1:9" ht="40.799999999999997" x14ac:dyDescent="0.3">
      <c r="A23" s="2" t="s">
        <v>59</v>
      </c>
      <c r="B23" s="2" t="s">
        <v>12</v>
      </c>
      <c r="C23" s="2" t="s">
        <v>60</v>
      </c>
      <c r="D23" s="2" t="s">
        <v>61</v>
      </c>
      <c r="E23" s="2">
        <v>1</v>
      </c>
      <c r="F23" s="2">
        <v>1</v>
      </c>
      <c r="G23" s="8">
        <v>2</v>
      </c>
      <c r="H23">
        <f t="shared" si="0"/>
        <v>1.1666666666666667</v>
      </c>
      <c r="I23">
        <f t="shared" si="1"/>
        <v>0.16666666666666666</v>
      </c>
    </row>
    <row r="24" spans="1:9" ht="51" x14ac:dyDescent="0.3">
      <c r="A24" s="2" t="s">
        <v>62</v>
      </c>
      <c r="B24" s="2" t="s">
        <v>12</v>
      </c>
      <c r="C24" s="2" t="s">
        <v>63</v>
      </c>
      <c r="D24" s="2" t="s">
        <v>53</v>
      </c>
      <c r="E24" s="2">
        <v>1</v>
      </c>
      <c r="F24" s="2">
        <v>1</v>
      </c>
      <c r="G24" s="8">
        <v>2</v>
      </c>
      <c r="H24">
        <f t="shared" si="0"/>
        <v>1.1666666666666667</v>
      </c>
      <c r="I24">
        <f t="shared" si="1"/>
        <v>0.16666666666666666</v>
      </c>
    </row>
    <row r="25" spans="1:9" ht="92.4" x14ac:dyDescent="0.3">
      <c r="A25" s="11" t="s">
        <v>64</v>
      </c>
      <c r="B25" s="2" t="s">
        <v>35</v>
      </c>
      <c r="C25" s="2" t="s">
        <v>65</v>
      </c>
      <c r="D25" s="2" t="s">
        <v>66</v>
      </c>
      <c r="E25" s="2">
        <v>5</v>
      </c>
      <c r="F25" s="2">
        <v>5</v>
      </c>
      <c r="G25" s="8">
        <v>6</v>
      </c>
      <c r="H25">
        <f t="shared" si="0"/>
        <v>5.166666666666667</v>
      </c>
      <c r="I25">
        <f t="shared" si="1"/>
        <v>0.16666666666666666</v>
      </c>
    </row>
    <row r="26" spans="1:9" ht="30.6" x14ac:dyDescent="0.3">
      <c r="A26" s="2" t="s">
        <v>67</v>
      </c>
      <c r="B26" s="2" t="s">
        <v>12</v>
      </c>
      <c r="C26" s="2" t="s">
        <v>65</v>
      </c>
      <c r="D26" s="2" t="s">
        <v>68</v>
      </c>
      <c r="E26" s="2">
        <v>1</v>
      </c>
      <c r="F26" s="2">
        <v>1</v>
      </c>
      <c r="G26" s="8">
        <v>2</v>
      </c>
      <c r="H26">
        <f t="shared" si="0"/>
        <v>1.1666666666666667</v>
      </c>
      <c r="I26">
        <f t="shared" si="1"/>
        <v>0.16666666666666666</v>
      </c>
    </row>
    <row r="27" spans="1:9" ht="30.6" x14ac:dyDescent="0.3">
      <c r="A27" s="2" t="s">
        <v>69</v>
      </c>
      <c r="B27" s="2" t="s">
        <v>12</v>
      </c>
      <c r="C27" s="2" t="s">
        <v>70</v>
      </c>
      <c r="D27" s="2" t="s">
        <v>71</v>
      </c>
      <c r="E27" s="2">
        <v>1</v>
      </c>
      <c r="F27" s="2">
        <v>1</v>
      </c>
      <c r="G27" s="8">
        <v>2</v>
      </c>
      <c r="H27">
        <f t="shared" si="0"/>
        <v>1.1666666666666667</v>
      </c>
      <c r="I27">
        <f t="shared" si="1"/>
        <v>0.16666666666666666</v>
      </c>
    </row>
    <row r="28" spans="1:9" ht="51" x14ac:dyDescent="0.3">
      <c r="A28" s="2" t="s">
        <v>72</v>
      </c>
      <c r="B28" s="2" t="s">
        <v>12</v>
      </c>
      <c r="C28" s="2" t="s">
        <v>73</v>
      </c>
      <c r="D28" s="2" t="s">
        <v>74</v>
      </c>
      <c r="E28" s="2">
        <v>1</v>
      </c>
      <c r="F28" s="2">
        <v>1</v>
      </c>
      <c r="G28" s="8">
        <v>2</v>
      </c>
      <c r="H28">
        <f t="shared" si="0"/>
        <v>1.1666666666666667</v>
      </c>
      <c r="I28">
        <f t="shared" si="1"/>
        <v>0.16666666666666666</v>
      </c>
    </row>
    <row r="29" spans="1:9" ht="20.399999999999999" x14ac:dyDescent="0.3">
      <c r="A29" s="2" t="s">
        <v>75</v>
      </c>
      <c r="B29" s="2" t="s">
        <v>12</v>
      </c>
      <c r="C29" s="2" t="s">
        <v>76</v>
      </c>
      <c r="D29" s="2" t="s">
        <v>77</v>
      </c>
      <c r="E29" s="2">
        <v>1</v>
      </c>
      <c r="F29" s="2">
        <v>1</v>
      </c>
      <c r="G29" s="8">
        <v>2</v>
      </c>
      <c r="H29">
        <f t="shared" si="0"/>
        <v>1.1666666666666667</v>
      </c>
      <c r="I29">
        <f t="shared" si="1"/>
        <v>0.16666666666666666</v>
      </c>
    </row>
    <row r="30" spans="1:9" ht="30.6" x14ac:dyDescent="0.3">
      <c r="A30" s="2" t="s">
        <v>78</v>
      </c>
      <c r="B30" s="2" t="s">
        <v>12</v>
      </c>
      <c r="C30" s="2" t="s">
        <v>79</v>
      </c>
      <c r="D30" s="2" t="s">
        <v>66</v>
      </c>
      <c r="E30" s="2">
        <v>1</v>
      </c>
      <c r="F30" s="2">
        <v>1</v>
      </c>
      <c r="G30" s="8">
        <v>2</v>
      </c>
      <c r="H30">
        <f t="shared" si="0"/>
        <v>1.1666666666666667</v>
      </c>
      <c r="I30">
        <f t="shared" si="1"/>
        <v>0.16666666666666666</v>
      </c>
    </row>
    <row r="31" spans="1:9" ht="39.6" x14ac:dyDescent="0.3">
      <c r="A31" s="11" t="s">
        <v>80</v>
      </c>
      <c r="B31" s="2" t="s">
        <v>81</v>
      </c>
      <c r="C31" s="2" t="s">
        <v>82</v>
      </c>
      <c r="D31" s="2" t="s">
        <v>83</v>
      </c>
      <c r="E31" s="2">
        <v>6</v>
      </c>
      <c r="F31" s="2">
        <v>6</v>
      </c>
      <c r="G31" s="8">
        <v>7</v>
      </c>
      <c r="H31">
        <f t="shared" si="0"/>
        <v>6.166666666666667</v>
      </c>
      <c r="I31">
        <f t="shared" si="1"/>
        <v>0.16666666666666666</v>
      </c>
    </row>
    <row r="32" spans="1:9" ht="30.6" x14ac:dyDescent="0.3">
      <c r="A32" s="2" t="s">
        <v>84</v>
      </c>
      <c r="B32" s="2" t="s">
        <v>12</v>
      </c>
      <c r="C32" s="2" t="s">
        <v>82</v>
      </c>
      <c r="D32" s="2" t="s">
        <v>85</v>
      </c>
      <c r="E32" s="2">
        <v>1</v>
      </c>
      <c r="F32" s="2">
        <v>1</v>
      </c>
      <c r="G32" s="8">
        <v>2</v>
      </c>
      <c r="H32">
        <f t="shared" si="0"/>
        <v>1.1666666666666667</v>
      </c>
      <c r="I32">
        <f t="shared" si="1"/>
        <v>0.16666666666666666</v>
      </c>
    </row>
    <row r="33" spans="1:9" ht="20.399999999999999" x14ac:dyDescent="0.3">
      <c r="A33" s="2" t="s">
        <v>86</v>
      </c>
      <c r="B33" s="2" t="s">
        <v>12</v>
      </c>
      <c r="C33" s="2" t="s">
        <v>87</v>
      </c>
      <c r="D33" s="2" t="s">
        <v>88</v>
      </c>
      <c r="E33" s="2">
        <v>1</v>
      </c>
      <c r="F33" s="2">
        <v>1</v>
      </c>
      <c r="G33" s="8">
        <v>7</v>
      </c>
      <c r="H33">
        <f t="shared" si="0"/>
        <v>2</v>
      </c>
      <c r="I33">
        <f t="shared" si="1"/>
        <v>1</v>
      </c>
    </row>
    <row r="34" spans="1:9" ht="30.6" x14ac:dyDescent="0.3">
      <c r="A34" s="2" t="s">
        <v>89</v>
      </c>
      <c r="B34" s="2" t="s">
        <v>9</v>
      </c>
      <c r="C34" s="2" t="s">
        <v>90</v>
      </c>
      <c r="D34" s="2" t="s">
        <v>91</v>
      </c>
      <c r="E34" s="2">
        <v>2</v>
      </c>
      <c r="F34" s="2">
        <v>2</v>
      </c>
      <c r="G34" s="8">
        <v>2</v>
      </c>
      <c r="H34">
        <f t="shared" si="0"/>
        <v>2</v>
      </c>
      <c r="I34">
        <f t="shared" si="1"/>
        <v>0</v>
      </c>
    </row>
    <row r="35" spans="1:9" ht="20.399999999999999" x14ac:dyDescent="0.3">
      <c r="A35" s="2" t="s">
        <v>92</v>
      </c>
      <c r="B35" s="2" t="s">
        <v>12</v>
      </c>
      <c r="C35" s="2" t="s">
        <v>93</v>
      </c>
      <c r="D35" s="2" t="s">
        <v>94</v>
      </c>
      <c r="E35" s="2">
        <v>1</v>
      </c>
      <c r="F35" s="2">
        <v>1</v>
      </c>
      <c r="G35" s="8">
        <v>2</v>
      </c>
      <c r="H35">
        <f t="shared" si="0"/>
        <v>1.1666666666666667</v>
      </c>
      <c r="I35">
        <f t="shared" si="1"/>
        <v>0.16666666666666666</v>
      </c>
    </row>
    <row r="36" spans="1:9" ht="20.399999999999999" x14ac:dyDescent="0.3">
      <c r="A36" s="2" t="s">
        <v>95</v>
      </c>
      <c r="B36" s="2" t="s">
        <v>12</v>
      </c>
      <c r="C36" s="2" t="s">
        <v>96</v>
      </c>
      <c r="D36" s="2" t="s">
        <v>83</v>
      </c>
      <c r="E36" s="2">
        <v>1</v>
      </c>
      <c r="F36" s="2">
        <v>1</v>
      </c>
      <c r="G36" s="8">
        <v>3</v>
      </c>
      <c r="H36">
        <f t="shared" si="0"/>
        <v>1.3333333333333333</v>
      </c>
      <c r="I36">
        <f t="shared" si="1"/>
        <v>0.33333333333333331</v>
      </c>
    </row>
    <row r="37" spans="1:9" ht="66" x14ac:dyDescent="0.3">
      <c r="A37" s="11" t="s">
        <v>97</v>
      </c>
      <c r="B37" s="2" t="s">
        <v>98</v>
      </c>
      <c r="C37" s="2" t="s">
        <v>99</v>
      </c>
      <c r="D37" s="2" t="s">
        <v>100</v>
      </c>
      <c r="E37" s="2">
        <v>7</v>
      </c>
      <c r="F37" s="2">
        <v>7</v>
      </c>
      <c r="G37" s="8">
        <v>3</v>
      </c>
      <c r="H37">
        <f t="shared" si="0"/>
        <v>6.333333333333333</v>
      </c>
      <c r="I37">
        <f t="shared" si="1"/>
        <v>-0.66666666666666663</v>
      </c>
    </row>
    <row r="38" spans="1:9" ht="30.6" x14ac:dyDescent="0.3">
      <c r="A38" s="2" t="s">
        <v>101</v>
      </c>
      <c r="B38" s="2" t="s">
        <v>12</v>
      </c>
      <c r="C38" s="2" t="s">
        <v>99</v>
      </c>
      <c r="D38" s="2" t="s">
        <v>102</v>
      </c>
      <c r="E38" s="2">
        <v>1</v>
      </c>
      <c r="F38" s="2">
        <v>1</v>
      </c>
      <c r="G38" s="8">
        <v>1</v>
      </c>
      <c r="H38">
        <f t="shared" si="0"/>
        <v>1</v>
      </c>
      <c r="I38">
        <f t="shared" si="1"/>
        <v>0</v>
      </c>
    </row>
    <row r="39" spans="1:9" ht="20.399999999999999" x14ac:dyDescent="0.3">
      <c r="A39" s="2" t="s">
        <v>103</v>
      </c>
      <c r="B39" s="2" t="s">
        <v>12</v>
      </c>
      <c r="C39" s="2" t="s">
        <v>104</v>
      </c>
      <c r="D39" s="2" t="s">
        <v>105</v>
      </c>
      <c r="E39" s="2">
        <v>1</v>
      </c>
      <c r="F39" s="2">
        <v>1</v>
      </c>
      <c r="G39" s="8">
        <v>1</v>
      </c>
      <c r="H39">
        <f t="shared" si="0"/>
        <v>1</v>
      </c>
      <c r="I39">
        <f t="shared" si="1"/>
        <v>0</v>
      </c>
    </row>
    <row r="40" spans="1:9" ht="40.799999999999997" x14ac:dyDescent="0.3">
      <c r="A40" s="2" t="s">
        <v>106</v>
      </c>
      <c r="B40" s="2" t="s">
        <v>35</v>
      </c>
      <c r="C40" s="3"/>
      <c r="D40" s="4"/>
      <c r="E40" s="2">
        <v>5</v>
      </c>
      <c r="F40" s="2">
        <v>5</v>
      </c>
      <c r="G40" s="8">
        <v>6</v>
      </c>
      <c r="H40">
        <f t="shared" si="0"/>
        <v>5.166666666666667</v>
      </c>
      <c r="I40">
        <f t="shared" si="1"/>
        <v>0.16666666666666666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I</cp:lastModifiedBy>
  <dcterms:created xsi:type="dcterms:W3CDTF">2025-11-22T10:09:36Z</dcterms:created>
  <dcterms:modified xsi:type="dcterms:W3CDTF">2025-11-23T15:31:10Z</dcterms:modified>
</cp:coreProperties>
</file>